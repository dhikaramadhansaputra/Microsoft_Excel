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hika Ramadhan Saputra\Data Analist\Microsoft Excel\Data Cleaning\MyOnlineTrainingHub\"/>
    </mc:Choice>
  </mc:AlternateContent>
  <xr:revisionPtr revIDLastSave="0" documentId="13_ncr:1_{DC17B1B0-A811-446D-AD63-83EB4275AC8A}" xr6:coauthVersionLast="47" xr6:coauthVersionMax="47" xr10:uidLastSave="{00000000-0000-0000-0000-000000000000}"/>
  <bookViews>
    <workbookView xWindow="-108" yWindow="-108" windowWidth="23256" windowHeight="12456" firstSheet="1" activeTab="2" xr2:uid="{FBEE0547-C1DD-4B7A-A3EB-2BA1446463BC}"/>
  </bookViews>
  <sheets>
    <sheet name="Copyright" sheetId="5" r:id="rId1"/>
    <sheet name="Raw" sheetId="10" r:id="rId2"/>
    <sheet name="Clean" sheetId="2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26" l="1"/>
  <c r="I31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</calcChain>
</file>

<file path=xl/sharedStrings.xml><?xml version="1.0" encoding="utf-8"?>
<sst xmlns="http://schemas.openxmlformats.org/spreadsheetml/2006/main" count="268" uniqueCount="94">
  <si>
    <t>Copyright Notice</t>
  </si>
  <si>
    <t xml:space="preserve"> </t>
  </si>
  <si>
    <t>The content in this file was created by Mynda Treacy from My Online Training Hub.</t>
  </si>
  <si>
    <t>Individual users are permitted to recreate the examples for personal practice only.</t>
  </si>
  <si>
    <r>
      <t xml:space="preserve">Recreating the examples for training or demonstration to others is </t>
    </r>
    <r>
      <rPr>
        <b/>
        <sz val="14"/>
        <rFont val="Calibri"/>
        <family val="2"/>
        <scheme val="minor"/>
      </rPr>
      <t>not permitted</t>
    </r>
    <r>
      <rPr>
        <sz val="14"/>
        <rFont val="Calibri"/>
        <family val="2"/>
        <scheme val="minor"/>
      </rPr>
      <t>, unless written consent is granted by Mynda Treacy.</t>
    </r>
  </si>
  <si>
    <t>The workbook and any sheets within must be accompanied by the following copyright notice: My Online Training Hub ©.</t>
  </si>
  <si>
    <t>This sheet must remain in any file that uses this data and or these techniques.</t>
  </si>
  <si>
    <t>Any uses of this workbook and/or data must include the above attribution.</t>
  </si>
  <si>
    <t>Social Channels</t>
  </si>
  <si>
    <t>Dataset</t>
  </si>
  <si>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</si>
  <si>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</si>
  <si>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</si>
  <si>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</si>
  <si>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</si>
  <si>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</si>
  <si>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</si>
  <si>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</si>
  <si>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 xml:space="preserve">John Smith   </t>
  </si>
  <si>
    <t>North</t>
  </si>
  <si>
    <t>Good</t>
  </si>
  <si>
    <t>Magic Wand</t>
  </si>
  <si>
    <t>Jane Doe</t>
  </si>
  <si>
    <t>East</t>
  </si>
  <si>
    <t>Excelent</t>
  </si>
  <si>
    <t>Unicorn Horn</t>
  </si>
  <si>
    <t>Mike   Tyson</t>
  </si>
  <si>
    <t>West</t>
  </si>
  <si>
    <t>Poor</t>
  </si>
  <si>
    <t>Boxing Gloves</t>
  </si>
  <si>
    <t>inf</t>
  </si>
  <si>
    <t>Anna   Belle</t>
  </si>
  <si>
    <t>South</t>
  </si>
  <si>
    <t>Average</t>
  </si>
  <si>
    <t>Fairy Dust</t>
  </si>
  <si>
    <t>Chris P. Bacon</t>
  </si>
  <si>
    <t>Bacon Scented Candle</t>
  </si>
  <si>
    <t>Peter   Parker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</si>
  <si>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</si>
  <si>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</si>
  <si>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</si>
  <si>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</si>
  <si>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</si>
  <si>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</si>
  <si>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</si>
  <si>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</si>
  <si>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</si>
  <si>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</si>
  <si>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</si>
  <si>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</si>
  <si>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</si>
  <si>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</si>
  <si>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</si>
  <si>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</si>
  <si>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</si>
  <si>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</si>
  <si>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</si>
  <si>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</si>
  <si>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</si>
  <si>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</si>
  <si>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</si>
  <si>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</si>
  <si>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</si>
  <si>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</si>
  <si>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</si>
  <si>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</si>
  <si>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</si>
  <si>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</si>
  <si>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</si>
  <si>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</si>
  <si>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</si>
  <si>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</si>
  <si>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</si>
  <si>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</si>
  <si>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</si>
  <si>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</si>
  <si>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</si>
  <si>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</si>
  <si>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</si>
  <si>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</si>
  <si>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</si>
  <si>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</si>
  <si>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</si>
  <si>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</si>
  <si>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</si>
  <si>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</si>
  <si>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John Smith</t>
  </si>
  <si>
    <t>Mike Tyson</t>
  </si>
  <si>
    <t>Anna Belle</t>
  </si>
  <si>
    <t>Peter Parker</t>
  </si>
  <si>
    <t>Excellent</t>
  </si>
  <si>
    <t>Total</t>
  </si>
  <si>
    <t>Sales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</si>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</sst>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28"/>
      <color theme="0"/>
      <name val="Segoe UI Light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55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/>
    <xf numFmtId="0" fontId="5" fillId="0" borderId="0" xfId="0" applyFont="1" applyAlignment="1">
      <alignment horizontal="left" vertical="top"/>
    </xf>
    <xf numFmtId="22" fontId="6" fillId="0" borderId="0" xfId="0" applyNumberFormat="1" applyFont="1"/>
    <xf numFmtId="0" fontId="6" fillId="0" borderId="0" xfId="0" applyFont="1"/>
    <xf numFmtId="8" fontId="6" fillId="0" borderId="0" xfId="0" applyNumberFormat="1" applyFont="1"/>
    <xf numFmtId="0" fontId="7" fillId="0" borderId="0" xfId="0" applyFont="1" applyAlignment="1">
      <alignment horizontal="left" vertical="top"/>
    </xf>
    <xf numFmtId="4" fontId="4" fillId="2" borderId="0" xfId="0" applyNumberFormat="1" applyFont="1" applyFill="1" applyAlignment="1">
      <alignment vertical="center"/>
    </xf>
    <xf numFmtId="4" fontId="7" fillId="0" borderId="0" xfId="0" applyNumberFormat="1" applyFont="1" applyAlignment="1">
      <alignment horizontal="left" vertical="top"/>
    </xf>
    <xf numFmtId="4" fontId="0" fillId="0" borderId="0" xfId="0" applyNumberFormat="1"/>
    <xf numFmtId="4" fontId="6" fillId="0" borderId="0" xfId="0" applyNumberFormat="1" applyFon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www.myonlinetraininghub.com/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hyperlink" Target="https://www.myonlinetraininghub.com/how-to-clean-data-in-excel" TargetMode="Externa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https://youtu.be/oT4emh72fuA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hyperlink" Target="https://www.myonlinetraininghub.com/how-to-clean-data-in-excel" TargetMode="Externa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https://youtu.be/oT4emh72fu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428625</xdr:colOff>
      <xdr:row>0</xdr:row>
      <xdr:rowOff>85725</xdr:rowOff>
    </xdr:from>
    <xdr:ext cx="3705377" cy="504824"/>
    <xdr:pic>
      <xdr:nvPicPr>
        <xdr:cNvPr id="3" name="my-online-training-hub-logo-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8A69EB-FC7B-406A-9433-D6766A23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238875" y="85725"/>
          <a:ext cx="3705377" cy="504824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11</xdr:row>
      <xdr:rowOff>0</xdr:rowOff>
    </xdr:to>
    <xdr:pic>
      <xdr:nvPicPr>
        <xdr:cNvPr id="2" name="Picture 1" descr="YouTube Channel">
          <a:extLst>
            <a:ext uri="{FF2B5EF4-FFF2-40B4-BE49-F238E27FC236}">
              <a16:creationId xmlns:a16="http://schemas.microsoft.com/office/drawing/2014/main" id="{D3EAB3B2-8E9F-2873-E52B-CA50C6E4A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143250"/>
          <a:ext cx="6096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11</xdr:row>
      <xdr:rowOff>0</xdr:rowOff>
    </xdr:to>
    <xdr:pic>
      <xdr:nvPicPr>
        <xdr:cNvPr id="4" name="Picture 3" descr="LinkedIn Profile">
          <a:extLst>
            <a:ext uri="{FF2B5EF4-FFF2-40B4-BE49-F238E27FC236}">
              <a16:creationId xmlns:a16="http://schemas.microsoft.com/office/drawing/2014/main" id="{BBC772A7-4575-1821-E4F7-0B92876BF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143250"/>
          <a:ext cx="6096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323850</xdr:colOff>
      <xdr:row>0</xdr:row>
      <xdr:rowOff>142874</xdr:rowOff>
    </xdr:from>
    <xdr:to>
      <xdr:col>5</xdr:col>
      <xdr:colOff>438150</xdr:colOff>
      <xdr:row>0</xdr:row>
      <xdr:rowOff>438149</xdr:rowOff>
    </xdr:to>
    <xdr:grpSp>
      <xdr:nvGrpSpPr>
        <xdr:cNvPr id="11" name="Group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C075F2-7FE7-446B-AFB1-34E9CA12D474}"/>
            </a:ext>
          </a:extLst>
        </xdr:cNvPr>
        <xdr:cNvGrpSpPr/>
      </xdr:nvGrpSpPr>
      <xdr:grpSpPr>
        <a:xfrm>
          <a:off x="3440430" y="142874"/>
          <a:ext cx="118872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D9D104E3-B1E7-7D9D-909E-E078B885B935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4B6F0F25-CDC6-2AE4-3467-1856FFF698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581024</xdr:colOff>
      <xdr:row>0</xdr:row>
      <xdr:rowOff>142874</xdr:rowOff>
    </xdr:from>
    <xdr:to>
      <xdr:col>6</xdr:col>
      <xdr:colOff>380999</xdr:colOff>
      <xdr:row>0</xdr:row>
      <xdr:rowOff>438149</xdr:rowOff>
    </xdr:to>
    <xdr:grpSp>
      <xdr:nvGrpSpPr>
        <xdr:cNvPr id="14" name="Group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9032960-29B9-4A9C-AE87-F8E74B195ED3}"/>
            </a:ext>
          </a:extLst>
        </xdr:cNvPr>
        <xdr:cNvGrpSpPr/>
      </xdr:nvGrpSpPr>
      <xdr:grpSpPr>
        <a:xfrm>
          <a:off x="4772024" y="142874"/>
          <a:ext cx="1407795" cy="295275"/>
          <a:chOff x="5400674" y="152400"/>
          <a:chExt cx="1362075" cy="295275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D18B3811-8CEC-55B5-14A7-78D970AB414A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25FD29AB-C839-CF01-C258-CC38EB7FDCA6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17" name="Rectangle: Rounded Corners 16">
              <a:extLst>
                <a:ext uri="{FF2B5EF4-FFF2-40B4-BE49-F238E27FC236}">
                  <a16:creationId xmlns:a16="http://schemas.microsoft.com/office/drawing/2014/main" id="{65D0D6BF-7D59-CC0F-107C-B400FD2B1A9F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18" name="Isosceles Triangle 17">
              <a:extLst>
                <a:ext uri="{FF2B5EF4-FFF2-40B4-BE49-F238E27FC236}">
                  <a16:creationId xmlns:a16="http://schemas.microsoft.com/office/drawing/2014/main" id="{429F8150-91A8-7425-2661-48180CE83A3B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7</xdr:col>
      <xdr:colOff>323697</xdr:colOff>
      <xdr:row>0</xdr:row>
      <xdr:rowOff>38100</xdr:rowOff>
    </xdr:from>
    <xdr:to>
      <xdr:col>13</xdr:col>
      <xdr:colOff>95249</xdr:colOff>
      <xdr:row>0</xdr:row>
      <xdr:rowOff>542924</xdr:rowOff>
    </xdr:to>
    <xdr:pic>
      <xdr:nvPicPr>
        <xdr:cNvPr id="19" name="my-online-training-hub-logo-2">
          <a:extLst>
            <a:ext uri="{FF2B5EF4-FFF2-40B4-BE49-F238E27FC236}">
              <a16:creationId xmlns:a16="http://schemas.microsoft.com/office/drawing/2014/main" id="{22830B8F-39CE-4DCC-B461-D9A49909A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68873</xdr:colOff>
      <xdr:row>0</xdr:row>
      <xdr:rowOff>142874</xdr:rowOff>
    </xdr:from>
    <xdr:to>
      <xdr:col>5</xdr:col>
      <xdr:colOff>669681</xdr:colOff>
      <xdr:row>0</xdr:row>
      <xdr:rowOff>438149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692FB0-64F4-4F7D-9716-C6113A9661F6}"/>
            </a:ext>
          </a:extLst>
        </xdr:cNvPr>
        <xdr:cNvGrpSpPr/>
      </xdr:nvGrpSpPr>
      <xdr:grpSpPr>
        <a:xfrm>
          <a:off x="3439258" y="142874"/>
          <a:ext cx="1186961" cy="295275"/>
          <a:chOff x="4486275" y="142875"/>
          <a:chExt cx="1162050" cy="295275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40442601-9BD3-1ED3-AA73-94D20E426E78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4" name="Graphic 3" descr="Document">
            <a:extLst>
              <a:ext uri="{FF2B5EF4-FFF2-40B4-BE49-F238E27FC236}">
                <a16:creationId xmlns:a16="http://schemas.microsoft.com/office/drawing/2014/main" id="{6D28BAB9-90AA-F818-0926-A43601F6EC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812555</xdr:colOff>
      <xdr:row>0</xdr:row>
      <xdr:rowOff>142874</xdr:rowOff>
    </xdr:from>
    <xdr:to>
      <xdr:col>6</xdr:col>
      <xdr:colOff>705728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A8BCB0E-3210-4494-9CE3-5CF8C05165F6}"/>
            </a:ext>
          </a:extLst>
        </xdr:cNvPr>
        <xdr:cNvGrpSpPr/>
      </xdr:nvGrpSpPr>
      <xdr:grpSpPr>
        <a:xfrm>
          <a:off x="4769093" y="142874"/>
          <a:ext cx="1411312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0ED9448F-7F02-BE9E-D616-2ADE8FDC1EC5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9859BE2E-24D5-C797-32B8-45E65EC2035B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2CA028A9-3E14-942C-1E0F-E55209C70800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119DF5DE-2317-C76C-9717-799EA542EE98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7</xdr:col>
      <xdr:colOff>514197</xdr:colOff>
      <xdr:row>0</xdr:row>
      <xdr:rowOff>38100</xdr:rowOff>
    </xdr:from>
    <xdr:to>
      <xdr:col>13</xdr:col>
      <xdr:colOff>186103</xdr:colOff>
      <xdr:row>1</xdr:row>
      <xdr:rowOff>40004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C6A41315-B5EA-4209-8807-4F17045C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716877" y="38100"/>
          <a:ext cx="3733952" cy="5048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A3CBF-E12E-4335-BD23-36EDAB8530C9}" name="Table2" displayName="Table2" ref="A2:I31" totalsRowCount="1" headerRowDxfId="18" dataDxfId="19">
  <autoFilter ref="A2:I30" xr:uid="{4F0A3CBF-E12E-4335-BD23-36EDAB8530C9}"/>
  <tableColumns count="9">
    <tableColumn id="1" xr3:uid="{36D9ED8A-DD8F-4D24-A0D9-3D8DF3E93352}" name="Date" totalsRowLabel="Total" dataDxfId="25" totalsRowDxfId="8"/>
    <tableColumn id="2" xr3:uid="{B82FACDD-E250-485D-B290-0B49663B7FA2}" name="ID" dataDxfId="24" totalsRowDxfId="7"/>
    <tableColumn id="3" xr3:uid="{C9478AA9-A0B0-4265-B416-08BECB9A8813}" name="Name" dataDxfId="23" totalsRowDxfId="6"/>
    <tableColumn id="4" xr3:uid="{BDE87E7A-EFD9-4465-912D-1AF623A96BE6}" name="Region" dataDxfId="22" totalsRowDxfId="5"/>
    <tableColumn id="5" xr3:uid="{71DF8EB3-656C-4B5B-A3C2-0F4E2489859E}" name="Rating" dataDxfId="21" totalsRowDxfId="4"/>
    <tableColumn id="6" xr3:uid="{3271346C-54FE-4CC9-BFE7-FDF49CE5583C}" name="Product" dataDxfId="20" totalsRowDxfId="3"/>
    <tableColumn id="7" xr3:uid="{0B78569E-0708-47EE-BE5E-451F7673EB4C}" name="Quantity" totalsRowFunction="sum" dataDxfId="14" totalsRowDxfId="2"/>
    <tableColumn id="8" xr3:uid="{DD23AFD1-D8CC-4A47-8550-22FE8A98B050}" name="Price Per Unit" dataDxfId="13" totalsRowDxfId="1"/>
    <tableColumn id="10" xr3:uid="{9AE2EF7E-F0CC-4961-9687-6FC81E0BEF75}" name="Sales" totalsRowFunction="sum" dataDxfId="12" totalsRowDxfId="0">
      <calculatedColumnFormula>IFERROR(Table2[[#This Row],[Quantity]]*Table2[[#This Row],[Price Per Unit]], 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8689-294F-425B-92D5-0A64A793B10E}">
  <dimension ref="A1:Q30"/>
  <sheetViews>
    <sheetView showGridLines="0" showRowColHeaders="0" workbookViewId="0">
      <selection activeCell="G12" sqref="G12"/>
    </sheetView>
  </sheetViews>
  <sheetFormatPr defaultColWidth="0" defaultRowHeight="14.4" zeroHeight="1" x14ac:dyDescent="0.3"/>
  <cols>
    <col min="1" max="1" width="4.88671875" customWidth="1"/>
    <col min="2" max="17" width="9.109375" customWidth="1"/>
    <col min="18" max="16384" width="9.109375" hidden="1"/>
  </cols>
  <sheetData>
    <row r="1" spans="1:17" ht="52.5" customHeight="1" x14ac:dyDescent="0.3">
      <c r="A1" s="3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/>
    <row r="3" spans="1:17" ht="18" x14ac:dyDescent="0.35">
      <c r="B3" s="1" t="s">
        <v>1</v>
      </c>
    </row>
    <row r="4" spans="1:17" ht="18" x14ac:dyDescent="0.3">
      <c r="B4" s="2" t="s">
        <v>2</v>
      </c>
    </row>
    <row r="5" spans="1:17" ht="18" x14ac:dyDescent="0.3">
      <c r="B5" s="2" t="s">
        <v>3</v>
      </c>
    </row>
    <row r="6" spans="1:17" ht="18" x14ac:dyDescent="0.3">
      <c r="B6" s="2" t="s">
        <v>4</v>
      </c>
    </row>
    <row r="7" spans="1:17" ht="18" x14ac:dyDescent="0.3">
      <c r="B7" s="2"/>
    </row>
    <row r="8" spans="1:17" ht="18" x14ac:dyDescent="0.3">
      <c r="B8" s="2" t="s">
        <v>5</v>
      </c>
    </row>
    <row r="9" spans="1:17" x14ac:dyDescent="0.3"/>
    <row r="10" spans="1:17" ht="18" x14ac:dyDescent="0.3">
      <c r="B10" s="2" t="s">
        <v>6</v>
      </c>
    </row>
    <row r="11" spans="1:17" ht="18" x14ac:dyDescent="0.3">
      <c r="B11" s="2" t="s">
        <v>7</v>
      </c>
    </row>
    <row r="30" spans="2:2" hidden="1" x14ac:dyDescent="0.3">
      <c r="B30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9445-17DE-4A17-9A0C-1D9F0D234EEC}">
  <dimension ref="A1:P33"/>
  <sheetViews>
    <sheetView workbookViewId="0">
      <selection activeCell="L14" sqref="L14"/>
    </sheetView>
  </sheetViews>
  <sheetFormatPr defaultRowHeight="14.4" x14ac:dyDescent="0.3"/>
  <cols>
    <col min="1" max="1" width="24.88671875" bestFit="1" customWidth="1"/>
    <col min="2" max="2" width="3" bestFit="1" customWidth="1"/>
    <col min="3" max="3" width="17.5546875" bestFit="1" customWidth="1"/>
    <col min="4" max="4" width="7.109375" bestFit="1" customWidth="1"/>
    <col min="5" max="5" width="8.5546875" bestFit="1" customWidth="1"/>
    <col min="6" max="6" width="23.44140625" bestFit="1" customWidth="1"/>
    <col min="7" max="7" width="8.6640625" bestFit="1" customWidth="1"/>
    <col min="8" max="8" width="13.33203125" bestFit="1" customWidth="1"/>
  </cols>
  <sheetData>
    <row r="1" spans="1:16" s="4" customFormat="1" ht="48.75" customHeight="1" x14ac:dyDescent="0.4">
      <c r="A1" s="3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</row>
    <row r="3" spans="1:16" ht="9.9" customHeight="1" x14ac:dyDescent="0.3">
      <c r="A3" s="6">
        <v>44227</v>
      </c>
      <c r="B3" s="7">
        <v>1</v>
      </c>
      <c r="C3" s="7" t="s">
        <v>18</v>
      </c>
      <c r="D3" s="7" t="s">
        <v>19</v>
      </c>
      <c r="E3" s="7" t="s">
        <v>20</v>
      </c>
      <c r="F3" s="7" t="s">
        <v>21</v>
      </c>
      <c r="G3" s="7">
        <v>10</v>
      </c>
      <c r="H3" s="8">
        <v>20</v>
      </c>
    </row>
    <row r="4" spans="1:16" ht="9.9" customHeight="1" x14ac:dyDescent="0.3">
      <c r="A4" s="6">
        <v>44255</v>
      </c>
      <c r="B4" s="7">
        <v>2</v>
      </c>
      <c r="C4" s="7" t="s">
        <v>22</v>
      </c>
      <c r="D4" s="7" t="s">
        <v>23</v>
      </c>
      <c r="E4" s="7" t="s">
        <v>24</v>
      </c>
      <c r="F4" s="7" t="s">
        <v>25</v>
      </c>
      <c r="G4" s="7">
        <v>15</v>
      </c>
      <c r="H4" s="8">
        <v>10</v>
      </c>
    </row>
    <row r="5" spans="1:16" ht="9.9" customHeight="1" x14ac:dyDescent="0.3">
      <c r="A5" s="6">
        <v>44286</v>
      </c>
      <c r="B5" s="7">
        <v>3</v>
      </c>
      <c r="C5" s="7" t="s">
        <v>26</v>
      </c>
      <c r="D5" s="7" t="s">
        <v>27</v>
      </c>
      <c r="E5" s="7" t="s">
        <v>28</v>
      </c>
      <c r="F5" s="7" t="s">
        <v>29</v>
      </c>
      <c r="G5" s="7">
        <v>0</v>
      </c>
      <c r="H5" s="7" t="s">
        <v>30</v>
      </c>
    </row>
    <row r="6" spans="1:16" ht="9.9" customHeight="1" x14ac:dyDescent="0.3">
      <c r="A6" s="6">
        <v>44316</v>
      </c>
      <c r="B6" s="7">
        <v>4</v>
      </c>
      <c r="C6" s="7" t="s">
        <v>31</v>
      </c>
      <c r="D6" s="7" t="s">
        <v>32</v>
      </c>
      <c r="E6" s="7" t="s">
        <v>33</v>
      </c>
      <c r="F6" s="7" t="s">
        <v>34</v>
      </c>
      <c r="G6" s="7">
        <v>25</v>
      </c>
      <c r="H6" s="8">
        <v>10</v>
      </c>
    </row>
    <row r="7" spans="1:16" x14ac:dyDescent="0.3">
      <c r="A7" s="6">
        <v>44347</v>
      </c>
      <c r="B7" s="7">
        <v>5</v>
      </c>
      <c r="C7" s="7" t="s">
        <v>35</v>
      </c>
      <c r="D7" s="7" t="s">
        <v>23</v>
      </c>
      <c r="E7" s="7" t="s">
        <v>20</v>
      </c>
      <c r="F7" s="7" t="s">
        <v>36</v>
      </c>
      <c r="G7" s="7">
        <v>30</v>
      </c>
      <c r="H7" s="8">
        <v>16.670000000000002</v>
      </c>
    </row>
    <row r="8" spans="1:16" x14ac:dyDescent="0.3">
      <c r="A8" s="6">
        <v>44377</v>
      </c>
      <c r="B8" s="7">
        <v>6</v>
      </c>
      <c r="C8" s="7" t="s">
        <v>37</v>
      </c>
      <c r="D8" s="7"/>
      <c r="E8" s="7" t="s">
        <v>24</v>
      </c>
      <c r="F8" s="7" t="s">
        <v>38</v>
      </c>
      <c r="G8" s="7">
        <v>0</v>
      </c>
      <c r="H8" s="7" t="s">
        <v>30</v>
      </c>
    </row>
    <row r="9" spans="1:16" x14ac:dyDescent="0.3">
      <c r="A9" s="6">
        <v>44408</v>
      </c>
      <c r="B9" s="7">
        <v>7</v>
      </c>
      <c r="C9" s="7" t="s">
        <v>39</v>
      </c>
      <c r="D9" s="7" t="s">
        <v>27</v>
      </c>
      <c r="E9" s="7" t="s">
        <v>28</v>
      </c>
      <c r="F9" s="7" t="s">
        <v>40</v>
      </c>
      <c r="G9" s="7">
        <v>35</v>
      </c>
      <c r="H9" s="8">
        <v>10</v>
      </c>
    </row>
    <row r="10" spans="1:16" x14ac:dyDescent="0.3">
      <c r="A10" s="6">
        <v>44439</v>
      </c>
      <c r="B10" s="7">
        <v>8</v>
      </c>
      <c r="C10" s="7" t="s">
        <v>41</v>
      </c>
      <c r="D10" s="7" t="s">
        <v>32</v>
      </c>
      <c r="E10" s="7" t="s">
        <v>33</v>
      </c>
      <c r="F10" s="7" t="s">
        <v>42</v>
      </c>
      <c r="G10" s="7">
        <v>40</v>
      </c>
      <c r="H10" s="8">
        <v>15</v>
      </c>
    </row>
    <row r="11" spans="1:16" x14ac:dyDescent="0.3">
      <c r="A11" s="6">
        <v>44469</v>
      </c>
      <c r="B11" s="7">
        <v>9</v>
      </c>
      <c r="C11" s="7" t="s">
        <v>43</v>
      </c>
      <c r="D11" s="7" t="s">
        <v>23</v>
      </c>
      <c r="E11" s="7" t="s">
        <v>20</v>
      </c>
      <c r="F11" s="7" t="s">
        <v>44</v>
      </c>
      <c r="G11" s="7">
        <v>45</v>
      </c>
      <c r="H11" s="8">
        <v>12.22</v>
      </c>
    </row>
    <row r="12" spans="1:16" ht="9.9" customHeight="1" x14ac:dyDescent="0.3">
      <c r="A12" s="6">
        <v>44500</v>
      </c>
      <c r="B12" s="7">
        <v>10</v>
      </c>
      <c r="C12" s="7" t="s">
        <v>45</v>
      </c>
      <c r="D12" s="7" t="s">
        <v>19</v>
      </c>
      <c r="E12" s="7" t="s">
        <v>24</v>
      </c>
      <c r="F12" s="7" t="s">
        <v>46</v>
      </c>
      <c r="G12" s="7">
        <v>50</v>
      </c>
      <c r="H12" s="8">
        <v>14</v>
      </c>
    </row>
    <row r="13" spans="1:16" ht="9.9" customHeight="1" x14ac:dyDescent="0.3">
      <c r="A13" s="6">
        <v>44530</v>
      </c>
      <c r="B13" s="7">
        <v>11</v>
      </c>
      <c r="C13" s="7" t="s">
        <v>47</v>
      </c>
      <c r="D13" s="7" t="s">
        <v>27</v>
      </c>
      <c r="E13" s="7" t="s">
        <v>28</v>
      </c>
      <c r="F13" s="7" t="s">
        <v>48</v>
      </c>
      <c r="G13" s="7">
        <v>5</v>
      </c>
      <c r="H13" s="8">
        <v>160</v>
      </c>
    </row>
    <row r="14" spans="1:16" ht="9.9" customHeight="1" x14ac:dyDescent="0.3">
      <c r="A14" s="6">
        <v>44561</v>
      </c>
      <c r="B14" s="7">
        <v>12</v>
      </c>
      <c r="C14" s="7" t="s">
        <v>49</v>
      </c>
      <c r="D14" s="7" t="s">
        <v>32</v>
      </c>
      <c r="E14" s="7" t="s">
        <v>33</v>
      </c>
      <c r="F14" s="7" t="s">
        <v>50</v>
      </c>
      <c r="G14" s="7">
        <v>20</v>
      </c>
      <c r="H14" s="8">
        <v>45</v>
      </c>
    </row>
    <row r="15" spans="1:16" ht="20.100000000000001" customHeight="1" x14ac:dyDescent="0.3">
      <c r="A15" s="6">
        <v>44592</v>
      </c>
      <c r="B15" s="7">
        <v>13</v>
      </c>
      <c r="C15" s="7" t="s">
        <v>51</v>
      </c>
      <c r="D15" s="7" t="s">
        <v>23</v>
      </c>
      <c r="E15" s="7" t="s">
        <v>20</v>
      </c>
      <c r="F15" s="7" t="s">
        <v>52</v>
      </c>
      <c r="G15" s="7">
        <v>0</v>
      </c>
      <c r="H15" s="7" t="s">
        <v>30</v>
      </c>
    </row>
    <row r="16" spans="1:16" ht="20.100000000000001" customHeight="1" x14ac:dyDescent="0.3">
      <c r="A16" s="6">
        <v>44620</v>
      </c>
      <c r="B16" s="7">
        <v>14</v>
      </c>
      <c r="C16" s="7" t="s">
        <v>53</v>
      </c>
      <c r="D16" s="7"/>
      <c r="E16" s="7" t="s">
        <v>24</v>
      </c>
      <c r="F16" s="7" t="s">
        <v>54</v>
      </c>
      <c r="G16" s="7">
        <v>30</v>
      </c>
      <c r="H16" s="8">
        <v>36.67</v>
      </c>
    </row>
    <row r="17" spans="1:8" ht="20.100000000000001" customHeight="1" x14ac:dyDescent="0.3">
      <c r="A17" s="6">
        <v>44316</v>
      </c>
      <c r="B17" s="7">
        <v>4</v>
      </c>
      <c r="C17" s="7" t="s">
        <v>31</v>
      </c>
      <c r="D17" s="7" t="s">
        <v>32</v>
      </c>
      <c r="E17" s="7" t="s">
        <v>33</v>
      </c>
      <c r="F17" s="7" t="s">
        <v>34</v>
      </c>
      <c r="G17" s="7">
        <v>25</v>
      </c>
      <c r="H17" s="8">
        <v>10</v>
      </c>
    </row>
    <row r="18" spans="1:8" ht="20.100000000000001" customHeight="1" x14ac:dyDescent="0.3">
      <c r="A18" s="6">
        <v>44347</v>
      </c>
      <c r="B18" s="7">
        <v>5</v>
      </c>
      <c r="C18" s="7" t="s">
        <v>35</v>
      </c>
      <c r="D18" s="7" t="s">
        <v>23</v>
      </c>
      <c r="E18" s="7" t="s">
        <v>20</v>
      </c>
      <c r="F18" s="7" t="s">
        <v>36</v>
      </c>
      <c r="G18" s="7">
        <v>30</v>
      </c>
      <c r="H18" s="8">
        <v>16.670000000000002</v>
      </c>
    </row>
    <row r="19" spans="1:8" ht="20.100000000000001" customHeight="1" x14ac:dyDescent="0.3">
      <c r="A19" s="6">
        <v>44377</v>
      </c>
      <c r="B19" s="7">
        <v>6</v>
      </c>
      <c r="C19" s="7" t="s">
        <v>37</v>
      </c>
      <c r="D19" s="7"/>
      <c r="E19" s="7" t="s">
        <v>24</v>
      </c>
      <c r="F19" s="7" t="s">
        <v>38</v>
      </c>
      <c r="G19" s="7">
        <v>0</v>
      </c>
      <c r="H19" s="7" t="s">
        <v>30</v>
      </c>
    </row>
    <row r="20" spans="1:8" ht="20.100000000000001" customHeight="1" x14ac:dyDescent="0.3">
      <c r="A20" s="6">
        <v>44651</v>
      </c>
      <c r="B20" s="7">
        <v>15</v>
      </c>
      <c r="C20" s="7" t="s">
        <v>55</v>
      </c>
      <c r="D20" s="7" t="s">
        <v>27</v>
      </c>
      <c r="E20" s="7" t="s">
        <v>28</v>
      </c>
      <c r="F20" s="7" t="s">
        <v>56</v>
      </c>
      <c r="G20" s="7">
        <v>35</v>
      </c>
      <c r="H20" s="8">
        <v>34.29</v>
      </c>
    </row>
    <row r="21" spans="1:8" ht="20.100000000000001" customHeight="1" x14ac:dyDescent="0.3">
      <c r="A21" s="6">
        <v>44681</v>
      </c>
      <c r="B21" s="7">
        <v>16</v>
      </c>
      <c r="C21" s="7" t="s">
        <v>57</v>
      </c>
      <c r="D21" s="7"/>
      <c r="E21" s="7" t="s">
        <v>33</v>
      </c>
      <c r="F21" s="7" t="s">
        <v>58</v>
      </c>
      <c r="G21" s="7">
        <v>0</v>
      </c>
      <c r="H21" s="7" t="s">
        <v>30</v>
      </c>
    </row>
    <row r="22" spans="1:8" ht="20.100000000000001" customHeight="1" x14ac:dyDescent="0.3">
      <c r="A22" s="6">
        <v>44712</v>
      </c>
      <c r="B22" s="7">
        <v>17</v>
      </c>
      <c r="C22" s="7" t="s">
        <v>59</v>
      </c>
      <c r="D22" s="7" t="s">
        <v>23</v>
      </c>
      <c r="E22" s="7" t="s">
        <v>20</v>
      </c>
      <c r="F22" s="7" t="s">
        <v>60</v>
      </c>
      <c r="G22" s="7">
        <v>40</v>
      </c>
      <c r="H22" s="8">
        <v>35</v>
      </c>
    </row>
    <row r="23" spans="1:8" ht="20.100000000000001" customHeight="1" x14ac:dyDescent="0.3">
      <c r="A23" s="6">
        <v>44742</v>
      </c>
      <c r="B23" s="7">
        <v>18</v>
      </c>
      <c r="C23" s="7" t="s">
        <v>61</v>
      </c>
      <c r="D23" s="7" t="s">
        <v>19</v>
      </c>
      <c r="E23" s="7" t="s">
        <v>24</v>
      </c>
      <c r="F23" s="7" t="s">
        <v>62</v>
      </c>
      <c r="G23" s="7">
        <v>45</v>
      </c>
      <c r="H23" s="8">
        <v>33.33</v>
      </c>
    </row>
    <row r="24" spans="1:8" ht="20.100000000000001" customHeight="1" x14ac:dyDescent="0.3">
      <c r="A24" s="6">
        <v>44773</v>
      </c>
      <c r="B24" s="7">
        <v>19</v>
      </c>
      <c r="C24" s="7" t="s">
        <v>63</v>
      </c>
      <c r="D24" s="7" t="s">
        <v>27</v>
      </c>
      <c r="E24" s="7" t="s">
        <v>28</v>
      </c>
      <c r="F24" s="7" t="s">
        <v>64</v>
      </c>
      <c r="G24" s="7">
        <v>50</v>
      </c>
      <c r="H24" s="8">
        <v>32</v>
      </c>
    </row>
    <row r="25" spans="1:8" ht="20.100000000000001" customHeight="1" x14ac:dyDescent="0.3">
      <c r="A25" s="6">
        <v>44804</v>
      </c>
      <c r="B25" s="7">
        <v>20</v>
      </c>
      <c r="C25" s="7" t="s">
        <v>65</v>
      </c>
      <c r="D25" s="7" t="s">
        <v>32</v>
      </c>
      <c r="E25" s="7" t="s">
        <v>33</v>
      </c>
      <c r="F25" s="7" t="s">
        <v>66</v>
      </c>
      <c r="G25" s="7">
        <v>55</v>
      </c>
      <c r="H25" s="8">
        <v>30.91</v>
      </c>
    </row>
    <row r="26" spans="1:8" ht="20.100000000000001" customHeight="1" x14ac:dyDescent="0.3">
      <c r="A26" s="6">
        <v>44834</v>
      </c>
      <c r="B26" s="7">
        <v>21</v>
      </c>
      <c r="C26" s="7" t="s">
        <v>67</v>
      </c>
      <c r="D26" s="7" t="s">
        <v>23</v>
      </c>
      <c r="E26" s="7" t="s">
        <v>20</v>
      </c>
      <c r="F26" s="7" t="s">
        <v>68</v>
      </c>
      <c r="G26" s="7">
        <v>60</v>
      </c>
      <c r="H26" s="8">
        <v>30</v>
      </c>
    </row>
    <row r="27" spans="1:8" ht="20.100000000000001" customHeight="1" x14ac:dyDescent="0.3">
      <c r="A27" s="6">
        <v>44865</v>
      </c>
      <c r="B27" s="7">
        <v>22</v>
      </c>
      <c r="C27" s="7" t="s">
        <v>69</v>
      </c>
      <c r="D27" s="7" t="s">
        <v>19</v>
      </c>
      <c r="E27" s="7" t="s">
        <v>24</v>
      </c>
      <c r="F27" s="7" t="s">
        <v>70</v>
      </c>
      <c r="G27" s="7">
        <v>0</v>
      </c>
      <c r="H27" s="7" t="s">
        <v>30</v>
      </c>
    </row>
    <row r="28" spans="1:8" ht="20.100000000000001" customHeight="1" x14ac:dyDescent="0.3">
      <c r="A28" s="6">
        <v>44895</v>
      </c>
      <c r="B28" s="7">
        <v>23</v>
      </c>
      <c r="C28" s="7" t="s">
        <v>71</v>
      </c>
      <c r="D28" s="7" t="s">
        <v>27</v>
      </c>
      <c r="E28" s="7" t="s">
        <v>28</v>
      </c>
      <c r="F28" s="7" t="s">
        <v>72</v>
      </c>
      <c r="G28" s="7">
        <v>65</v>
      </c>
      <c r="H28" s="8">
        <v>30.77</v>
      </c>
    </row>
    <row r="29" spans="1:8" ht="20.100000000000001" customHeight="1" x14ac:dyDescent="0.3">
      <c r="A29" s="6">
        <v>44926</v>
      </c>
      <c r="B29" s="7">
        <v>24</v>
      </c>
      <c r="C29" s="7" t="s">
        <v>73</v>
      </c>
      <c r="D29" s="7" t="s">
        <v>32</v>
      </c>
      <c r="E29" s="7" t="s">
        <v>33</v>
      </c>
      <c r="F29" s="7" t="s">
        <v>74</v>
      </c>
      <c r="G29" s="7">
        <v>70</v>
      </c>
      <c r="H29" s="8">
        <v>30</v>
      </c>
    </row>
    <row r="30" spans="1:8" ht="20.100000000000001" customHeight="1" x14ac:dyDescent="0.3">
      <c r="A30" s="6">
        <v>44957</v>
      </c>
      <c r="B30" s="7">
        <v>25</v>
      </c>
      <c r="C30" s="7" t="s">
        <v>75</v>
      </c>
      <c r="D30" s="7" t="s">
        <v>76</v>
      </c>
      <c r="E30" s="7" t="s">
        <v>77</v>
      </c>
      <c r="F30" s="7" t="s">
        <v>78</v>
      </c>
      <c r="G30" s="7">
        <v>75</v>
      </c>
      <c r="H30" s="8">
        <v>29.33</v>
      </c>
    </row>
    <row r="31" spans="1:8" ht="20.100000000000001" customHeight="1" x14ac:dyDescent="0.3">
      <c r="A31" s="6">
        <v>44985</v>
      </c>
      <c r="B31" s="7">
        <v>26</v>
      </c>
      <c r="C31" s="7" t="s">
        <v>79</v>
      </c>
      <c r="D31" s="7" t="s">
        <v>76</v>
      </c>
      <c r="E31" s="7" t="s">
        <v>80</v>
      </c>
      <c r="F31" s="7" t="s">
        <v>81</v>
      </c>
      <c r="G31" s="7">
        <v>80</v>
      </c>
      <c r="H31" s="8">
        <v>28.75</v>
      </c>
    </row>
    <row r="32" spans="1:8" ht="20.100000000000001" customHeight="1" x14ac:dyDescent="0.3">
      <c r="A32" s="6">
        <v>45016</v>
      </c>
      <c r="B32" s="7">
        <v>27</v>
      </c>
      <c r="C32" s="7" t="s">
        <v>51</v>
      </c>
      <c r="D32" s="7" t="s">
        <v>23</v>
      </c>
      <c r="E32" s="7" t="s">
        <v>82</v>
      </c>
      <c r="F32" s="7" t="s">
        <v>83</v>
      </c>
      <c r="G32" s="7">
        <v>0</v>
      </c>
      <c r="H32" s="7" t="s">
        <v>30</v>
      </c>
    </row>
    <row r="33" spans="1:8" ht="20.100000000000001" customHeight="1" x14ac:dyDescent="0.3">
      <c r="A33" s="6">
        <v>45046</v>
      </c>
      <c r="B33" s="7">
        <v>28</v>
      </c>
      <c r="C33" s="7" t="s">
        <v>49</v>
      </c>
      <c r="D33" s="7" t="s">
        <v>32</v>
      </c>
      <c r="E33" s="7" t="s">
        <v>84</v>
      </c>
      <c r="F33" s="7" t="s">
        <v>85</v>
      </c>
      <c r="G33" s="7">
        <v>85</v>
      </c>
      <c r="H33" s="8">
        <v>29.41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6DB5-45C7-46A0-B458-824992909945}">
  <dimension ref="A1:O31"/>
  <sheetViews>
    <sheetView tabSelected="1" zoomScale="130" zoomScaleNormal="130" workbookViewId="0">
      <selection activeCell="M3" sqref="M3"/>
    </sheetView>
  </sheetViews>
  <sheetFormatPr defaultRowHeight="14.4" x14ac:dyDescent="0.3"/>
  <cols>
    <col min="1" max="1" width="18.5546875" bestFit="1" customWidth="1"/>
    <col min="2" max="2" width="5" bestFit="1" customWidth="1"/>
    <col min="3" max="3" width="16.5546875" bestFit="1" customWidth="1"/>
    <col min="4" max="4" width="9" bestFit="1" customWidth="1"/>
    <col min="5" max="5" width="8.5546875" bestFit="1" customWidth="1"/>
    <col min="6" max="6" width="22.109375" bestFit="1" customWidth="1"/>
    <col min="7" max="7" width="10.5546875" bestFit="1" customWidth="1"/>
    <col min="8" max="8" width="14.5546875" style="12" bestFit="1" customWidth="1"/>
    <col min="9" max="9" width="9.109375" style="12" bestFit="1" customWidth="1"/>
  </cols>
  <sheetData>
    <row r="1" spans="1:15" s="4" customFormat="1" ht="39.6" x14ac:dyDescent="0.4">
      <c r="A1" s="3" t="s">
        <v>9</v>
      </c>
      <c r="B1" s="3"/>
      <c r="C1" s="3"/>
      <c r="D1" s="3"/>
      <c r="E1" s="3"/>
      <c r="F1" s="3"/>
      <c r="G1" s="3"/>
      <c r="H1" s="10"/>
      <c r="I1" s="10"/>
      <c r="J1" s="3"/>
      <c r="K1" s="3"/>
      <c r="L1" s="3"/>
      <c r="M1" s="3"/>
      <c r="N1" s="3"/>
      <c r="O1" s="3"/>
    </row>
    <row r="2" spans="1:15" x14ac:dyDescent="0.3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11" t="s">
        <v>17</v>
      </c>
      <c r="I2" s="11" t="s">
        <v>92</v>
      </c>
    </row>
    <row r="3" spans="1:15" x14ac:dyDescent="0.3">
      <c r="A3" s="6">
        <v>44227</v>
      </c>
      <c r="B3" s="7">
        <v>1</v>
      </c>
      <c r="C3" s="7" t="s">
        <v>86</v>
      </c>
      <c r="D3" s="7" t="s">
        <v>19</v>
      </c>
      <c r="E3" s="7" t="s">
        <v>20</v>
      </c>
      <c r="F3" s="7" t="s">
        <v>21</v>
      </c>
      <c r="G3" s="7">
        <v>10</v>
      </c>
      <c r="H3" s="13">
        <v>20</v>
      </c>
      <c r="I3" s="13">
        <f>IFERROR(Table2[[#This Row],[Quantity]]*Table2[[#This Row],[Price Per Unit]], 0)</f>
        <v>200</v>
      </c>
    </row>
    <row r="4" spans="1:15" x14ac:dyDescent="0.3">
      <c r="A4" s="6">
        <v>44255</v>
      </c>
      <c r="B4" s="7">
        <v>2</v>
      </c>
      <c r="C4" s="7" t="s">
        <v>22</v>
      </c>
      <c r="D4" s="7" t="s">
        <v>23</v>
      </c>
      <c r="E4" s="7" t="s">
        <v>90</v>
      </c>
      <c r="F4" s="7" t="s">
        <v>25</v>
      </c>
      <c r="G4" s="7">
        <v>15</v>
      </c>
      <c r="H4" s="13">
        <v>10</v>
      </c>
      <c r="I4" s="13">
        <f>IFERROR(Table2[[#This Row],[Quantity]]*Table2[[#This Row],[Price Per Unit]], 0)</f>
        <v>150</v>
      </c>
    </row>
    <row r="5" spans="1:15" x14ac:dyDescent="0.3">
      <c r="A5" s="6">
        <v>44286</v>
      </c>
      <c r="B5" s="7">
        <v>3</v>
      </c>
      <c r="C5" s="7" t="s">
        <v>87</v>
      </c>
      <c r="D5" s="7" t="s">
        <v>27</v>
      </c>
      <c r="E5" s="7" t="s">
        <v>28</v>
      </c>
      <c r="F5" s="7" t="s">
        <v>29</v>
      </c>
      <c r="G5" s="7">
        <v>0</v>
      </c>
      <c r="H5" s="13">
        <v>0</v>
      </c>
      <c r="I5" s="13">
        <f>IFERROR(Table2[[#This Row],[Quantity]]*Table2[[#This Row],[Price Per Unit]], 0)</f>
        <v>0</v>
      </c>
    </row>
    <row r="6" spans="1:15" x14ac:dyDescent="0.3">
      <c r="A6" s="6">
        <v>44316</v>
      </c>
      <c r="B6" s="7">
        <v>4</v>
      </c>
      <c r="C6" s="7" t="s">
        <v>88</v>
      </c>
      <c r="D6" s="7" t="s">
        <v>32</v>
      </c>
      <c r="E6" s="7" t="s">
        <v>33</v>
      </c>
      <c r="F6" s="7" t="s">
        <v>34</v>
      </c>
      <c r="G6" s="7">
        <v>25</v>
      </c>
      <c r="H6" s="13">
        <v>10</v>
      </c>
      <c r="I6" s="13">
        <f>IFERROR(Table2[[#This Row],[Quantity]]*Table2[[#This Row],[Price Per Unit]], 0)</f>
        <v>250</v>
      </c>
    </row>
    <row r="7" spans="1:15" x14ac:dyDescent="0.3">
      <c r="A7" s="6">
        <v>44347</v>
      </c>
      <c r="B7" s="7">
        <v>5</v>
      </c>
      <c r="C7" s="7" t="s">
        <v>35</v>
      </c>
      <c r="D7" s="7" t="s">
        <v>23</v>
      </c>
      <c r="E7" s="7" t="s">
        <v>20</v>
      </c>
      <c r="F7" s="7" t="s">
        <v>36</v>
      </c>
      <c r="G7" s="7">
        <v>30</v>
      </c>
      <c r="H7" s="13">
        <v>16.670000000000002</v>
      </c>
      <c r="I7" s="13">
        <f>IFERROR(Table2[[#This Row],[Quantity]]*Table2[[#This Row],[Price Per Unit]], 0)</f>
        <v>500.1</v>
      </c>
    </row>
    <row r="8" spans="1:15" x14ac:dyDescent="0.3">
      <c r="A8" s="6">
        <v>44377</v>
      </c>
      <c r="B8" s="7">
        <v>6</v>
      </c>
      <c r="C8" s="7" t="s">
        <v>89</v>
      </c>
      <c r="D8" s="7" t="s">
        <v>93</v>
      </c>
      <c r="E8" s="7" t="s">
        <v>90</v>
      </c>
      <c r="F8" s="7" t="s">
        <v>38</v>
      </c>
      <c r="G8" s="7">
        <v>0</v>
      </c>
      <c r="H8" s="13">
        <v>0</v>
      </c>
      <c r="I8" s="13">
        <f>IFERROR(Table2[[#This Row],[Quantity]]*Table2[[#This Row],[Price Per Unit]], 0)</f>
        <v>0</v>
      </c>
    </row>
    <row r="9" spans="1:15" x14ac:dyDescent="0.3">
      <c r="A9" s="6">
        <v>44408</v>
      </c>
      <c r="B9" s="7">
        <v>7</v>
      </c>
      <c r="C9" s="7" t="s">
        <v>39</v>
      </c>
      <c r="D9" s="7" t="s">
        <v>27</v>
      </c>
      <c r="E9" s="7" t="s">
        <v>28</v>
      </c>
      <c r="F9" s="7" t="s">
        <v>40</v>
      </c>
      <c r="G9" s="7">
        <v>35</v>
      </c>
      <c r="H9" s="13">
        <v>10</v>
      </c>
      <c r="I9" s="13">
        <f>IFERROR(Table2[[#This Row],[Quantity]]*Table2[[#This Row],[Price Per Unit]], 0)</f>
        <v>350</v>
      </c>
    </row>
    <row r="10" spans="1:15" x14ac:dyDescent="0.3">
      <c r="A10" s="6">
        <v>44439</v>
      </c>
      <c r="B10" s="7">
        <v>8</v>
      </c>
      <c r="C10" s="7" t="s">
        <v>41</v>
      </c>
      <c r="D10" s="7" t="s">
        <v>32</v>
      </c>
      <c r="E10" s="7" t="s">
        <v>33</v>
      </c>
      <c r="F10" s="7" t="s">
        <v>42</v>
      </c>
      <c r="G10" s="7">
        <v>40</v>
      </c>
      <c r="H10" s="13">
        <v>15</v>
      </c>
      <c r="I10" s="13">
        <f>IFERROR(Table2[[#This Row],[Quantity]]*Table2[[#This Row],[Price Per Unit]], 0)</f>
        <v>600</v>
      </c>
    </row>
    <row r="11" spans="1:15" x14ac:dyDescent="0.3">
      <c r="A11" s="6">
        <v>44469</v>
      </c>
      <c r="B11" s="7">
        <v>9</v>
      </c>
      <c r="C11" s="7" t="s">
        <v>43</v>
      </c>
      <c r="D11" s="7" t="s">
        <v>23</v>
      </c>
      <c r="E11" s="7" t="s">
        <v>20</v>
      </c>
      <c r="F11" s="7" t="s">
        <v>44</v>
      </c>
      <c r="G11" s="7">
        <v>45</v>
      </c>
      <c r="H11" s="13">
        <v>12.22</v>
      </c>
      <c r="I11" s="13">
        <f>IFERROR(Table2[[#This Row],[Quantity]]*Table2[[#This Row],[Price Per Unit]], 0)</f>
        <v>549.9</v>
      </c>
    </row>
    <row r="12" spans="1:15" x14ac:dyDescent="0.3">
      <c r="A12" s="6">
        <v>44500</v>
      </c>
      <c r="B12" s="7">
        <v>10</v>
      </c>
      <c r="C12" s="7" t="s">
        <v>45</v>
      </c>
      <c r="D12" s="7" t="s">
        <v>19</v>
      </c>
      <c r="E12" s="7" t="s">
        <v>90</v>
      </c>
      <c r="F12" s="7" t="s">
        <v>46</v>
      </c>
      <c r="G12" s="7">
        <v>50</v>
      </c>
      <c r="H12" s="13">
        <v>14</v>
      </c>
      <c r="I12" s="13">
        <f>IFERROR(Table2[[#This Row],[Quantity]]*Table2[[#This Row],[Price Per Unit]], 0)</f>
        <v>700</v>
      </c>
    </row>
    <row r="13" spans="1:15" x14ac:dyDescent="0.3">
      <c r="A13" s="6">
        <v>44530</v>
      </c>
      <c r="B13" s="7">
        <v>11</v>
      </c>
      <c r="C13" s="7" t="s">
        <v>47</v>
      </c>
      <c r="D13" s="7" t="s">
        <v>27</v>
      </c>
      <c r="E13" s="7" t="s">
        <v>28</v>
      </c>
      <c r="F13" s="7" t="s">
        <v>48</v>
      </c>
      <c r="G13" s="7">
        <v>5</v>
      </c>
      <c r="H13" s="13">
        <v>160</v>
      </c>
      <c r="I13" s="13">
        <f>IFERROR(Table2[[#This Row],[Quantity]]*Table2[[#This Row],[Price Per Unit]], 0)</f>
        <v>800</v>
      </c>
    </row>
    <row r="14" spans="1:15" x14ac:dyDescent="0.3">
      <c r="A14" s="6">
        <v>44561</v>
      </c>
      <c r="B14" s="7">
        <v>12</v>
      </c>
      <c r="C14" s="7" t="s">
        <v>49</v>
      </c>
      <c r="D14" s="7" t="s">
        <v>32</v>
      </c>
      <c r="E14" s="7" t="s">
        <v>33</v>
      </c>
      <c r="F14" s="7" t="s">
        <v>50</v>
      </c>
      <c r="G14" s="7">
        <v>20</v>
      </c>
      <c r="H14" s="13">
        <v>45</v>
      </c>
      <c r="I14" s="13">
        <f>IFERROR(Table2[[#This Row],[Quantity]]*Table2[[#This Row],[Price Per Unit]], 0)</f>
        <v>900</v>
      </c>
    </row>
    <row r="15" spans="1:15" x14ac:dyDescent="0.3">
      <c r="A15" s="6">
        <v>44592</v>
      </c>
      <c r="B15" s="7">
        <v>13</v>
      </c>
      <c r="C15" s="7" t="s">
        <v>51</v>
      </c>
      <c r="D15" s="7" t="s">
        <v>23</v>
      </c>
      <c r="E15" s="7" t="s">
        <v>20</v>
      </c>
      <c r="F15" s="7" t="s">
        <v>52</v>
      </c>
      <c r="G15" s="7">
        <v>0</v>
      </c>
      <c r="H15" s="13">
        <v>0</v>
      </c>
      <c r="I15" s="13">
        <f>IFERROR(Table2[[#This Row],[Quantity]]*Table2[[#This Row],[Price Per Unit]], 0)</f>
        <v>0</v>
      </c>
    </row>
    <row r="16" spans="1:15" x14ac:dyDescent="0.3">
      <c r="A16" s="6">
        <v>44620</v>
      </c>
      <c r="B16" s="7">
        <v>14</v>
      </c>
      <c r="C16" s="7" t="s">
        <v>53</v>
      </c>
      <c r="D16" s="7" t="s">
        <v>93</v>
      </c>
      <c r="E16" s="7" t="s">
        <v>90</v>
      </c>
      <c r="F16" s="7" t="s">
        <v>54</v>
      </c>
      <c r="G16" s="7">
        <v>30</v>
      </c>
      <c r="H16" s="13">
        <v>36.67</v>
      </c>
      <c r="I16" s="13">
        <f>IFERROR(Table2[[#This Row],[Quantity]]*Table2[[#This Row],[Price Per Unit]], 0)</f>
        <v>1100.1000000000001</v>
      </c>
    </row>
    <row r="17" spans="1:9" x14ac:dyDescent="0.3">
      <c r="A17" s="6">
        <v>44651</v>
      </c>
      <c r="B17" s="7">
        <v>15</v>
      </c>
      <c r="C17" s="7" t="s">
        <v>55</v>
      </c>
      <c r="D17" s="7" t="s">
        <v>27</v>
      </c>
      <c r="E17" s="7" t="s">
        <v>28</v>
      </c>
      <c r="F17" s="7" t="s">
        <v>56</v>
      </c>
      <c r="G17" s="7">
        <v>35</v>
      </c>
      <c r="H17" s="13">
        <v>34.29</v>
      </c>
      <c r="I17" s="13">
        <f>IFERROR(Table2[[#This Row],[Quantity]]*Table2[[#This Row],[Price Per Unit]], 0)</f>
        <v>1200.1499999999999</v>
      </c>
    </row>
    <row r="18" spans="1:9" x14ac:dyDescent="0.3">
      <c r="A18" s="6">
        <v>44681</v>
      </c>
      <c r="B18" s="7">
        <v>16</v>
      </c>
      <c r="C18" s="7" t="s">
        <v>57</v>
      </c>
      <c r="D18" s="7" t="s">
        <v>93</v>
      </c>
      <c r="E18" s="7" t="s">
        <v>33</v>
      </c>
      <c r="F18" s="7" t="s">
        <v>58</v>
      </c>
      <c r="G18" s="7">
        <v>0</v>
      </c>
      <c r="H18" s="13">
        <v>0</v>
      </c>
      <c r="I18" s="13">
        <f>IFERROR(Table2[[#This Row],[Quantity]]*Table2[[#This Row],[Price Per Unit]], 0)</f>
        <v>0</v>
      </c>
    </row>
    <row r="19" spans="1:9" x14ac:dyDescent="0.3">
      <c r="A19" s="6">
        <v>44712</v>
      </c>
      <c r="B19" s="7">
        <v>17</v>
      </c>
      <c r="C19" s="7" t="s">
        <v>59</v>
      </c>
      <c r="D19" s="7" t="s">
        <v>23</v>
      </c>
      <c r="E19" s="7" t="s">
        <v>20</v>
      </c>
      <c r="F19" s="7" t="s">
        <v>60</v>
      </c>
      <c r="G19" s="7">
        <v>40</v>
      </c>
      <c r="H19" s="13">
        <v>35</v>
      </c>
      <c r="I19" s="13">
        <f>IFERROR(Table2[[#This Row],[Quantity]]*Table2[[#This Row],[Price Per Unit]], 0)</f>
        <v>1400</v>
      </c>
    </row>
    <row r="20" spans="1:9" x14ac:dyDescent="0.3">
      <c r="A20" s="6">
        <v>44742</v>
      </c>
      <c r="B20" s="7">
        <v>18</v>
      </c>
      <c r="C20" s="7" t="s">
        <v>61</v>
      </c>
      <c r="D20" s="7" t="s">
        <v>19</v>
      </c>
      <c r="E20" s="7" t="s">
        <v>90</v>
      </c>
      <c r="F20" s="7" t="s">
        <v>62</v>
      </c>
      <c r="G20" s="7">
        <v>45</v>
      </c>
      <c r="H20" s="13">
        <v>33.33</v>
      </c>
      <c r="I20" s="13">
        <f>IFERROR(Table2[[#This Row],[Quantity]]*Table2[[#This Row],[Price Per Unit]], 0)</f>
        <v>1499.85</v>
      </c>
    </row>
    <row r="21" spans="1:9" x14ac:dyDescent="0.3">
      <c r="A21" s="6">
        <v>44773</v>
      </c>
      <c r="B21" s="7">
        <v>19</v>
      </c>
      <c r="C21" s="7" t="s">
        <v>63</v>
      </c>
      <c r="D21" s="7" t="s">
        <v>27</v>
      </c>
      <c r="E21" s="7" t="s">
        <v>28</v>
      </c>
      <c r="F21" s="7" t="s">
        <v>64</v>
      </c>
      <c r="G21" s="7">
        <v>50</v>
      </c>
      <c r="H21" s="13">
        <v>32</v>
      </c>
      <c r="I21" s="13">
        <f>IFERROR(Table2[[#This Row],[Quantity]]*Table2[[#This Row],[Price Per Unit]], 0)</f>
        <v>1600</v>
      </c>
    </row>
    <row r="22" spans="1:9" x14ac:dyDescent="0.3">
      <c r="A22" s="6">
        <v>44804</v>
      </c>
      <c r="B22" s="7">
        <v>20</v>
      </c>
      <c r="C22" s="7" t="s">
        <v>65</v>
      </c>
      <c r="D22" s="7" t="s">
        <v>32</v>
      </c>
      <c r="E22" s="7" t="s">
        <v>33</v>
      </c>
      <c r="F22" s="7" t="s">
        <v>66</v>
      </c>
      <c r="G22" s="7">
        <v>55</v>
      </c>
      <c r="H22" s="13">
        <v>30.91</v>
      </c>
      <c r="I22" s="13">
        <f>IFERROR(Table2[[#This Row],[Quantity]]*Table2[[#This Row],[Price Per Unit]], 0)</f>
        <v>1700.05</v>
      </c>
    </row>
    <row r="23" spans="1:9" x14ac:dyDescent="0.3">
      <c r="A23" s="6">
        <v>44834</v>
      </c>
      <c r="B23" s="7">
        <v>21</v>
      </c>
      <c r="C23" s="7" t="s">
        <v>67</v>
      </c>
      <c r="D23" s="7" t="s">
        <v>23</v>
      </c>
      <c r="E23" s="7" t="s">
        <v>20</v>
      </c>
      <c r="F23" s="7" t="s">
        <v>68</v>
      </c>
      <c r="G23" s="7">
        <v>60</v>
      </c>
      <c r="H23" s="13">
        <v>30</v>
      </c>
      <c r="I23" s="13">
        <f>IFERROR(Table2[[#This Row],[Quantity]]*Table2[[#This Row],[Price Per Unit]], 0)</f>
        <v>1800</v>
      </c>
    </row>
    <row r="24" spans="1:9" x14ac:dyDescent="0.3">
      <c r="A24" s="6">
        <v>44865</v>
      </c>
      <c r="B24" s="7">
        <v>22</v>
      </c>
      <c r="C24" s="7" t="s">
        <v>69</v>
      </c>
      <c r="D24" s="7" t="s">
        <v>19</v>
      </c>
      <c r="E24" s="7" t="s">
        <v>90</v>
      </c>
      <c r="F24" s="7" t="s">
        <v>70</v>
      </c>
      <c r="G24" s="7">
        <v>0</v>
      </c>
      <c r="H24" s="13">
        <v>0</v>
      </c>
      <c r="I24" s="13">
        <f>IFERROR(Table2[[#This Row],[Quantity]]*Table2[[#This Row],[Price Per Unit]], 0)</f>
        <v>0</v>
      </c>
    </row>
    <row r="25" spans="1:9" x14ac:dyDescent="0.3">
      <c r="A25" s="6">
        <v>44895</v>
      </c>
      <c r="B25" s="7">
        <v>23</v>
      </c>
      <c r="C25" s="7" t="s">
        <v>71</v>
      </c>
      <c r="D25" s="7" t="s">
        <v>27</v>
      </c>
      <c r="E25" s="7" t="s">
        <v>28</v>
      </c>
      <c r="F25" s="7" t="s">
        <v>72</v>
      </c>
      <c r="G25" s="7">
        <v>65</v>
      </c>
      <c r="H25" s="13">
        <v>30.77</v>
      </c>
      <c r="I25" s="13">
        <f>IFERROR(Table2[[#This Row],[Quantity]]*Table2[[#This Row],[Price Per Unit]], 0)</f>
        <v>2000.05</v>
      </c>
    </row>
    <row r="26" spans="1:9" x14ac:dyDescent="0.3">
      <c r="A26" s="6">
        <v>44926</v>
      </c>
      <c r="B26" s="7">
        <v>24</v>
      </c>
      <c r="C26" s="7" t="s">
        <v>73</v>
      </c>
      <c r="D26" s="7" t="s">
        <v>32</v>
      </c>
      <c r="E26" s="7" t="s">
        <v>33</v>
      </c>
      <c r="F26" s="7" t="s">
        <v>74</v>
      </c>
      <c r="G26" s="7">
        <v>70</v>
      </c>
      <c r="H26" s="13">
        <v>30</v>
      </c>
      <c r="I26" s="13">
        <f>IFERROR(Table2[[#This Row],[Quantity]]*Table2[[#This Row],[Price Per Unit]], 0)</f>
        <v>2100</v>
      </c>
    </row>
    <row r="27" spans="1:9" x14ac:dyDescent="0.3">
      <c r="A27" s="6">
        <v>44957</v>
      </c>
      <c r="B27" s="7">
        <v>25</v>
      </c>
      <c r="C27" s="7" t="s">
        <v>75</v>
      </c>
      <c r="D27" s="7" t="s">
        <v>76</v>
      </c>
      <c r="E27" s="7" t="s">
        <v>77</v>
      </c>
      <c r="F27" s="7" t="s">
        <v>78</v>
      </c>
      <c r="G27" s="7">
        <v>75</v>
      </c>
      <c r="H27" s="13">
        <v>29.33</v>
      </c>
      <c r="I27" s="13">
        <f>IFERROR(Table2[[#This Row],[Quantity]]*Table2[[#This Row],[Price Per Unit]], 0)</f>
        <v>2199.75</v>
      </c>
    </row>
    <row r="28" spans="1:9" x14ac:dyDescent="0.3">
      <c r="A28" s="6">
        <v>44985</v>
      </c>
      <c r="B28" s="7">
        <v>26</v>
      </c>
      <c r="C28" s="7" t="s">
        <v>79</v>
      </c>
      <c r="D28" s="7" t="s">
        <v>76</v>
      </c>
      <c r="E28" s="7" t="s">
        <v>80</v>
      </c>
      <c r="F28" s="7" t="s">
        <v>81</v>
      </c>
      <c r="G28" s="7">
        <v>80</v>
      </c>
      <c r="H28" s="13">
        <v>28.75</v>
      </c>
      <c r="I28" s="13">
        <f>IFERROR(Table2[[#This Row],[Quantity]]*Table2[[#This Row],[Price Per Unit]], 0)</f>
        <v>2300</v>
      </c>
    </row>
    <row r="29" spans="1:9" x14ac:dyDescent="0.3">
      <c r="A29" s="6">
        <v>45016</v>
      </c>
      <c r="B29" s="7">
        <v>27</v>
      </c>
      <c r="C29" s="7" t="s">
        <v>51</v>
      </c>
      <c r="D29" s="7" t="s">
        <v>23</v>
      </c>
      <c r="E29" s="7" t="s">
        <v>82</v>
      </c>
      <c r="F29" s="7" t="s">
        <v>83</v>
      </c>
      <c r="G29" s="7">
        <v>0</v>
      </c>
      <c r="H29" s="13">
        <v>0</v>
      </c>
      <c r="I29" s="13">
        <f>IFERROR(Table2[[#This Row],[Quantity]]*Table2[[#This Row],[Price Per Unit]], 0)</f>
        <v>0</v>
      </c>
    </row>
    <row r="30" spans="1:9" x14ac:dyDescent="0.3">
      <c r="A30" s="6">
        <v>45046</v>
      </c>
      <c r="B30" s="7">
        <v>28</v>
      </c>
      <c r="C30" s="7" t="s">
        <v>49</v>
      </c>
      <c r="D30" s="7" t="s">
        <v>32</v>
      </c>
      <c r="E30" s="7" t="s">
        <v>84</v>
      </c>
      <c r="F30" s="7" t="s">
        <v>85</v>
      </c>
      <c r="G30" s="7">
        <v>85</v>
      </c>
      <c r="H30" s="13">
        <v>29.41</v>
      </c>
      <c r="I30" s="13">
        <f>IFERROR(Table2[[#This Row],[Quantity]]*Table2[[#This Row],[Price Per Unit]], 0)</f>
        <v>2499.85</v>
      </c>
    </row>
    <row r="31" spans="1:9" x14ac:dyDescent="0.3">
      <c r="A31" s="7" t="s">
        <v>91</v>
      </c>
      <c r="B31" s="7"/>
      <c r="C31" s="7"/>
      <c r="D31" s="7"/>
      <c r="E31" s="7"/>
      <c r="F31" s="7"/>
      <c r="G31" s="7">
        <f>SUBTOTAL(109,Table2[Quantity])</f>
        <v>965</v>
      </c>
      <c r="H31" s="7"/>
      <c r="I31" s="13">
        <f>SUBTOTAL(109,Table2[Sales])</f>
        <v>26399.8</v>
      </c>
    </row>
  </sheetData>
  <conditionalFormatting sqref="F5">
    <cfRule type="duplicateValues" dxfId="11" priority="3"/>
  </conditionalFormatting>
  <conditionalFormatting sqref="A4">
    <cfRule type="duplicateValues" dxfId="10" priority="2"/>
  </conditionalFormatting>
  <conditionalFormatting sqref="B35:B1048576 B1:B30">
    <cfRule type="duplicateValues" dxfId="9" priority="1"/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E49C56486844AEA3493470A3BA7F" ma:contentTypeVersion="18" ma:contentTypeDescription="Create a new document." ma:contentTypeScope="" ma:versionID="e113dd8c6d9d6d8e50c33cd355eeb814">
  <xsd:schema xmlns:xsd="http://www.w3.org/2001/XMLSchema" xmlns:xs="http://www.w3.org/2001/XMLSchema" xmlns:p="http://schemas.microsoft.com/office/2006/metadata/properties" xmlns:ns3="04ec5a1a-e29c-407e-9660-cb4eaaff03ab" xmlns:ns4="98587d8b-32ff-4694-8d3a-6f66eb643b0d" targetNamespace="http://schemas.microsoft.com/office/2006/metadata/properties" ma:root="true" ma:fieldsID="654ccc4b072c8ba42f6f064ab7b3a12b" ns3:_="" ns4:_="">
    <xsd:import namespace="04ec5a1a-e29c-407e-9660-cb4eaaff03ab"/>
    <xsd:import namespace="98587d8b-32ff-4694-8d3a-6f66eb643b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c5a1a-e29c-407e-9660-cb4eaaff0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87d8b-32ff-4694-8d3a-6f66eb643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c5a1a-e29c-407e-9660-cb4eaaff03ab" xsi:nil="true"/>
  </documentManagement>
</p:properties>
</file>

<file path=customXml/itemProps1.xml><?xml version="1.0" encoding="utf-8"?>
<ds:datastoreItem xmlns:ds="http://schemas.openxmlformats.org/officeDocument/2006/customXml" ds:itemID="{84B241E6-AE4C-4EA5-96CC-6E77ABF1BB4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184B4C1-4F0A-455C-A4C4-43B4C034F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c5a1a-e29c-407e-9660-cb4eaaff03ab"/>
    <ds:schemaRef ds:uri="98587d8b-32ff-4694-8d3a-6f66eb643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F14EA0-1B09-4BA6-A1E0-FED8521C2BE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C00B319-165B-4AE8-A6AE-EED707A1FDFE}">
  <ds:schemaRefs>
    <ds:schemaRef ds:uri="http://schemas.microsoft.com/office/2006/metadata/properties"/>
    <ds:schemaRef ds:uri="http://schemas.microsoft.com/office/infopath/2007/PartnerControls"/>
    <ds:schemaRef ds:uri="04ec5a1a-e29c-407e-9660-cb4eaaff03a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Copyright</vt:lpstr>
      <vt:lpstr>Raw</vt:lpstr>
      <vt:lpstr>Clean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Mynda Treacy</dc:creator>
  <cp:keywords/>
  <dc:description/>
  <cp:lastModifiedBy>Dhika Ramadhan Saputra</cp:lastModifiedBy>
  <cp:revision/>
  <dcterms:created xsi:type="dcterms:W3CDTF">2019-12-23T04:48:23Z</dcterms:created>
  <dcterms:modified xsi:type="dcterms:W3CDTF">2026-06-24T04:47:30Z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0x01010076A9E49C56486844AEA3493470A3BA7F</vt:lpwstr>
  </property>
</Properties>
</file>