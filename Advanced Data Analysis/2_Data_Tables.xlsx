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Advanced Data Analysis\"/>
    </mc:Choice>
  </mc:AlternateContent>
  <xr:revisionPtr revIDLastSave="0" documentId="13_ncr:1_{3D758541-7A5B-4A47-B8EB-9C5867BA0017}" xr6:coauthVersionLast="47" xr6:coauthVersionMax="47" xr10:uidLastSave="{00000000-0000-0000-0000-000000000000}"/>
  <bookViews>
    <workbookView xWindow="-108" yWindow="-108" windowWidth="23256" windowHeight="12456" activeTab="1" xr2:uid="{6C37AC85-509F-4D10-9DB1-F70D16D6FBAB}"/>
  </bookViews>
  <sheets>
    <sheet name="One input" sheetId="3" r:id="rId1"/>
    <sheet name="two input" sheetId="4" r:id="rId2"/>
    <sheet name="Data_Table_One-Input" sheetId="1" state="hidden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C13" i="4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<sst xmlns="http://schemas.openxmlformats.org/spreadsheetml/2006/main" count="43" uniqueCount="13">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</sst>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72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6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4" fontId="6" fillId="0" borderId="4" xfId="2" applyNumberFormat="1" applyFont="1" applyBorder="1"/>
    <xf numFmtId="172" fontId="0" fillId="0" borderId="0" xfId="1" applyNumberFormat="1" applyFont="1" applyBorder="1"/>
    <xf numFmtId="172" fontId="0" fillId="0" borderId="2" xfId="1" applyNumberFormat="1" applyFont="1" applyBorder="1"/>
    <xf numFmtId="164" fontId="6" fillId="0" borderId="20" xfId="2" applyNumberFormat="1" applyFont="1" applyBorder="1"/>
    <xf numFmtId="172" fontId="0" fillId="0" borderId="8" xfId="1" applyNumberFormat="1" applyFont="1" applyBorder="1"/>
    <xf numFmtId="172" fontId="0" fillId="0" borderId="9" xfId="1" applyNumberFormat="1" applyFont="1" applyBorder="1"/>
    <xf numFmtId="0" fontId="2" fillId="0" borderId="0" xfId="0" applyFont="1" applyBorder="1" applyAlignment="1">
      <alignment horizontal="center"/>
    </xf>
    <xf numFmtId="9" fontId="6" fillId="0" borderId="4" xfId="2" applyFont="1" applyBorder="1" applyAlignment="1">
      <alignment horizontal="center"/>
    </xf>
    <xf numFmtId="9" fontId="6" fillId="0" borderId="5" xfId="2" applyFont="1" applyBorder="1" applyAlignment="1">
      <alignment horizontal="center"/>
    </xf>
    <xf numFmtId="164" fontId="0" fillId="0" borderId="4" xfId="0" applyNumberFormat="1" applyFont="1" applyBorder="1"/>
    <xf numFmtId="9" fontId="6" fillId="0" borderId="6" xfId="2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="140" zoomScaleNormal="140" workbookViewId="0">
      <selection activeCell="K4" sqref="K4:K1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5">
        <v>0</v>
      </c>
      <c r="G2" s="5">
        <v>1</v>
      </c>
      <c r="H2" s="5">
        <v>2</v>
      </c>
      <c r="I2" s="5">
        <v>3</v>
      </c>
      <c r="J2" s="5">
        <v>4</v>
      </c>
      <c r="K2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_xlfn.XLOOKUP(F$2,$B$9:$B$14,$C$9:$C$14)</f>
        <v>110000.00000000001</v>
      </c>
      <c r="G3" s="33">
        <f t="shared" ref="G3:K3" si="0">_xlfn.XLOOKUP(G$2,$B$9:$B$14,$C$9:$C$14)</f>
        <v>111650</v>
      </c>
      <c r="H3" s="33">
        <f t="shared" si="0"/>
        <v>113324.74999999997</v>
      </c>
      <c r="I3" s="33">
        <f t="shared" si="0"/>
        <v>115024.62124999997</v>
      </c>
      <c r="J3" s="33">
        <f t="shared" si="0"/>
        <v>116749.99056874996</v>
      </c>
      <c r="K3" s="36">
        <f t="shared" si="0"/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34">
        <f t="dataTable" ref="F4:K12" dt2D="0" dtr="0" r1="C5"/>
        <v>110000.00000000001</v>
      </c>
      <c r="G4" s="34">
        <v>110000.00000000001</v>
      </c>
      <c r="H4" s="34">
        <v>110000.00000000001</v>
      </c>
      <c r="I4" s="34">
        <v>110000.00000000001</v>
      </c>
      <c r="J4" s="34">
        <v>110000.00000000001</v>
      </c>
      <c r="K4" s="37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34">
        <v>110000.00000000001</v>
      </c>
      <c r="G5" s="34">
        <v>110550</v>
      </c>
      <c r="H5" s="34">
        <v>111102.74999999997</v>
      </c>
      <c r="I5" s="34">
        <v>111658.26374999997</v>
      </c>
      <c r="J5" s="34">
        <v>112216.55506874995</v>
      </c>
      <c r="K5" s="37">
        <v>555527.56881874998</v>
      </c>
    </row>
    <row r="6" spans="2:11" ht="15" thickBot="1" x14ac:dyDescent="0.35">
      <c r="E6" s="17">
        <v>0.01</v>
      </c>
      <c r="F6" s="34">
        <v>110000.00000000001</v>
      </c>
      <c r="G6" s="34">
        <v>111100.00000000001</v>
      </c>
      <c r="H6" s="34">
        <v>112211.00000000001</v>
      </c>
      <c r="I6" s="34">
        <v>113333.11</v>
      </c>
      <c r="J6" s="34">
        <v>114466.44110000001</v>
      </c>
      <c r="K6" s="37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34">
        <v>110000.00000000001</v>
      </c>
      <c r="G7" s="34">
        <v>111650</v>
      </c>
      <c r="H7" s="34">
        <v>113324.74999999997</v>
      </c>
      <c r="I7" s="34">
        <v>115024.62124999997</v>
      </c>
      <c r="J7" s="34">
        <v>116749.99056874996</v>
      </c>
      <c r="K7" s="37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34">
        <v>110000.00000000001</v>
      </c>
      <c r="G8" s="34">
        <v>112200.00000000001</v>
      </c>
      <c r="H8" s="34">
        <v>114444.00000000001</v>
      </c>
      <c r="I8" s="34">
        <v>116732.87999999999</v>
      </c>
      <c r="J8" s="34">
        <v>119067.53760000001</v>
      </c>
      <c r="K8" s="37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34">
        <v>110000.00000000001</v>
      </c>
      <c r="G9" s="34">
        <v>112750</v>
      </c>
      <c r="H9" s="34">
        <v>115568.75</v>
      </c>
      <c r="I9" s="34">
        <v>118457.96875</v>
      </c>
      <c r="J9" s="34">
        <v>121419.41796874997</v>
      </c>
      <c r="K9" s="37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34">
        <v>110000.00000000001</v>
      </c>
      <c r="G10" s="34">
        <v>113300.00000000001</v>
      </c>
      <c r="H10" s="34">
        <v>116699.00000000001</v>
      </c>
      <c r="I10" s="34">
        <v>120199.97</v>
      </c>
      <c r="J10" s="34">
        <v>123805.9691</v>
      </c>
      <c r="K10" s="37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34">
        <v>110000.00000000001</v>
      </c>
      <c r="G11" s="34">
        <v>113850</v>
      </c>
      <c r="H11" s="34">
        <v>117834.75</v>
      </c>
      <c r="I11" s="34">
        <v>121958.96624999998</v>
      </c>
      <c r="J11" s="34">
        <v>126227.53006874998</v>
      </c>
      <c r="K11" s="37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5">
        <v>110000.00000000001</v>
      </c>
      <c r="G12" s="35">
        <v>114400.00000000001</v>
      </c>
      <c r="H12" s="35">
        <v>118976.00000000003</v>
      </c>
      <c r="I12" s="35">
        <v>123735.04000000002</v>
      </c>
      <c r="J12" s="35">
        <v>128684.44160000002</v>
      </c>
      <c r="K12" s="38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17F2-C45B-4D3B-9E75-9581BC096DEF}">
  <dimension ref="B1:K14"/>
  <sheetViews>
    <sheetView tabSelected="1" zoomScale="150" zoomScaleNormal="150" workbookViewId="0">
      <selection activeCell="J13" sqref="J1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9" t="s">
        <v>1</v>
      </c>
      <c r="G2" s="39"/>
      <c r="H2" s="39"/>
      <c r="I2" s="39"/>
      <c r="J2" s="39"/>
      <c r="K2" s="39"/>
    </row>
    <row r="3" spans="2:11" ht="15" thickBot="1" x14ac:dyDescent="0.35">
      <c r="B3" s="6" t="s">
        <v>0</v>
      </c>
      <c r="C3" s="25">
        <v>100000</v>
      </c>
      <c r="E3" s="42">
        <f>base</f>
        <v>100000</v>
      </c>
      <c r="F3" s="40">
        <v>0</v>
      </c>
      <c r="G3" s="41">
        <v>0.05</v>
      </c>
      <c r="H3" s="41">
        <v>0.1</v>
      </c>
      <c r="I3" s="41">
        <v>0.15</v>
      </c>
      <c r="J3" s="41">
        <v>0.2</v>
      </c>
      <c r="K3" s="43">
        <v>0.25</v>
      </c>
    </row>
    <row r="4" spans="2:11" x14ac:dyDescent="0.3">
      <c r="B4" s="6" t="s">
        <v>1</v>
      </c>
      <c r="C4" s="26">
        <v>0.1</v>
      </c>
      <c r="E4" s="44">
        <v>0</v>
      </c>
      <c r="F4" s="1">
        <f t="dataTable" ref="F4:K12" dt2D="1" dtr="1" r1="C4" r2="C5"/>
        <v>100000</v>
      </c>
      <c r="G4" s="1">
        <v>100000</v>
      </c>
      <c r="H4" s="1">
        <v>100000</v>
      </c>
      <c r="I4" s="1">
        <v>100000</v>
      </c>
      <c r="J4" s="1">
        <v>100000</v>
      </c>
      <c r="K4" s="2">
        <v>100000</v>
      </c>
    </row>
    <row r="5" spans="2:11" ht="15" thickBot="1" x14ac:dyDescent="0.35">
      <c r="B5" s="8" t="s">
        <v>2</v>
      </c>
      <c r="C5" s="27">
        <v>1.4999999999999999E-2</v>
      </c>
      <c r="E5" s="44">
        <v>5.0000000000000001E-3</v>
      </c>
      <c r="F5" s="1">
        <v>100000</v>
      </c>
      <c r="G5" s="1">
        <v>100000</v>
      </c>
      <c r="H5" s="1">
        <v>100000</v>
      </c>
      <c r="I5" s="1">
        <v>100000</v>
      </c>
      <c r="J5" s="1">
        <v>100000</v>
      </c>
      <c r="K5" s="2">
        <v>100000</v>
      </c>
    </row>
    <row r="6" spans="2:11" ht="15" thickBot="1" x14ac:dyDescent="0.35">
      <c r="E6" s="44">
        <v>0.01</v>
      </c>
      <c r="F6" s="1">
        <v>100000</v>
      </c>
      <c r="G6" s="1">
        <v>100000</v>
      </c>
      <c r="H6" s="1">
        <v>100000</v>
      </c>
      <c r="I6" s="1">
        <v>100000</v>
      </c>
      <c r="J6" s="1">
        <v>100000</v>
      </c>
      <c r="K6" s="2">
        <v>100000</v>
      </c>
    </row>
    <row r="7" spans="2:11" x14ac:dyDescent="0.3">
      <c r="B7" s="28" t="s">
        <v>10</v>
      </c>
      <c r="C7" s="29"/>
      <c r="E7" s="44">
        <v>1.4999999999999999E-2</v>
      </c>
      <c r="F7" s="1">
        <v>100000</v>
      </c>
      <c r="G7" s="1">
        <v>100000</v>
      </c>
      <c r="H7" s="1">
        <v>100000</v>
      </c>
      <c r="I7" s="1">
        <v>100000</v>
      </c>
      <c r="J7" s="1">
        <v>100000</v>
      </c>
      <c r="K7" s="2">
        <v>100000</v>
      </c>
    </row>
    <row r="8" spans="2:11" x14ac:dyDescent="0.3">
      <c r="B8" s="14" t="s">
        <v>11</v>
      </c>
      <c r="C8" s="15" t="s">
        <v>12</v>
      </c>
      <c r="E8" s="44">
        <v>0.02</v>
      </c>
      <c r="F8" s="1">
        <v>100000</v>
      </c>
      <c r="G8" s="1">
        <v>100000</v>
      </c>
      <c r="H8" s="1">
        <v>100000</v>
      </c>
      <c r="I8" s="1">
        <v>100000</v>
      </c>
      <c r="J8" s="1">
        <v>100000</v>
      </c>
      <c r="K8" s="2">
        <v>100000</v>
      </c>
    </row>
    <row r="9" spans="2:11" x14ac:dyDescent="0.3">
      <c r="B9" s="9">
        <v>0</v>
      </c>
      <c r="C9" s="7">
        <f>(base*(1+raise)^B9)*(1+bonus)</f>
        <v>110000.00000000001</v>
      </c>
      <c r="E9" s="44">
        <v>2.5000000000000001E-2</v>
      </c>
      <c r="F9" s="1">
        <v>100000</v>
      </c>
      <c r="G9" s="1">
        <v>100000</v>
      </c>
      <c r="H9" s="1">
        <v>100000</v>
      </c>
      <c r="I9" s="1">
        <v>100000</v>
      </c>
      <c r="J9" s="1">
        <v>100000</v>
      </c>
      <c r="K9" s="2">
        <v>100000</v>
      </c>
    </row>
    <row r="10" spans="2:11" x14ac:dyDescent="0.3">
      <c r="B10" s="9">
        <v>1</v>
      </c>
      <c r="C10" s="7">
        <f>(base*(1+raise)^B10)*(1+bonus)</f>
        <v>111650</v>
      </c>
      <c r="E10" s="44">
        <v>0.03</v>
      </c>
      <c r="F10" s="1">
        <v>100000</v>
      </c>
      <c r="G10" s="1">
        <v>100000</v>
      </c>
      <c r="H10" s="1">
        <v>100000</v>
      </c>
      <c r="I10" s="1">
        <v>100000</v>
      </c>
      <c r="J10" s="1">
        <v>100000</v>
      </c>
      <c r="K10" s="2">
        <v>100000</v>
      </c>
    </row>
    <row r="11" spans="2:11" x14ac:dyDescent="0.3">
      <c r="B11" s="9">
        <v>2</v>
      </c>
      <c r="C11" s="7">
        <f>(base*(1+raise)^B11)*(1+bonus)</f>
        <v>113324.74999999997</v>
      </c>
      <c r="E11" s="44">
        <v>3.5000000000000003E-2</v>
      </c>
      <c r="F11" s="1">
        <v>100000</v>
      </c>
      <c r="G11" s="1">
        <v>100000</v>
      </c>
      <c r="H11" s="1">
        <v>100000</v>
      </c>
      <c r="I11" s="1">
        <v>100000</v>
      </c>
      <c r="J11" s="1">
        <v>100000</v>
      </c>
      <c r="K11" s="2">
        <v>100000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45">
        <v>0.04</v>
      </c>
      <c r="F12" s="3">
        <v>100000</v>
      </c>
      <c r="G12" s="3">
        <v>100000</v>
      </c>
      <c r="H12" s="3">
        <v>100000</v>
      </c>
      <c r="I12" s="3">
        <v>100000</v>
      </c>
      <c r="J12" s="3">
        <v>100000</v>
      </c>
      <c r="K12" s="4">
        <v>100000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3" sqref="E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Dhika Ramadhan Saputra</cp:lastModifiedBy>
  <dcterms:created xsi:type="dcterms:W3CDTF">2024-08-08T18:34:47Z</dcterms:created>
  <dcterms:modified xsi:type="dcterms:W3CDTF">2025-10-07T03:08:42Z</dcterms:modified>
</cp:coreProperties>
</file>